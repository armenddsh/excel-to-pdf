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2105E0B7-7199-46EB-842A-ED6C12B8945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NY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9" l="1"/>
  <c r="E13" i="19"/>
  <c r="F14" i="19"/>
  <c r="F13" i="19"/>
  <c r="G14" i="19" l="1"/>
  <c r="I14" i="19" s="1"/>
  <c r="G13" i="19"/>
  <c r="I13" i="19" s="1"/>
  <c r="I16" i="19" l="1"/>
</calcChain>
</file>

<file path=xl/sharedStrings.xml><?xml version="1.0" encoding="utf-8"?>
<sst xmlns="http://schemas.openxmlformats.org/spreadsheetml/2006/main" count="22" uniqueCount="21">
  <si>
    <t>Adresa</t>
  </si>
  <si>
    <t>Njesia</t>
  </si>
  <si>
    <t>KW Paraprak</t>
  </si>
  <si>
    <t>KW Aktual</t>
  </si>
  <si>
    <t>Differenca</t>
  </si>
  <si>
    <t>Cmimi</t>
  </si>
  <si>
    <t>Totali i fatures</t>
  </si>
  <si>
    <t>A1 KW</t>
  </si>
  <si>
    <t>A2 KW</t>
  </si>
  <si>
    <t>Totali:</t>
  </si>
  <si>
    <t>Kw total</t>
  </si>
  <si>
    <t>Datë</t>
  </si>
  <si>
    <t>Raport i gjendjes së shpenzimeve Elektrike në Kw</t>
  </si>
  <si>
    <t>Objekt</t>
  </si>
  <si>
    <t>Datë e leximit të njesorit elektrik:</t>
  </si>
  <si>
    <t>Prezent në leximin e njësorit elektrik:</t>
  </si>
  <si>
    <t xml:space="preserve">Njësia </t>
  </si>
  <si>
    <t>Pejë-Rr,Bekim  Berisha</t>
  </si>
  <si>
    <t>ARP</t>
  </si>
  <si>
    <t>NEW YORKER</t>
  </si>
  <si>
    <t>04.03.2026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</si>
</sst>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m/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165" fontId="1" fillId="2" borderId="0" xfId="0" applyNumberFormat="1" applyFont="1" applyFill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192405</xdr:colOff>
      <xdr:row>0</xdr:row>
      <xdr:rowOff>127635</xdr:rowOff>
    </xdr:from>
    <xdr:to>
      <xdr:col>8</xdr:col>
      <xdr:colOff>1047750</xdr:colOff>
      <xdr:row>2</xdr:row>
      <xdr:rowOff>148513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396F4-3D7B-485A-8BFB-932FCDFA3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80" y="127635"/>
          <a:ext cx="1741170" cy="401878"/>
        </a:xfrm>
        <a:prstGeom prst="rect">
          <a:avLst/>
        </a:prstGeom>
      </xdr:spPr>
    </xdr:pic>
    <xdr:clientData/>
  </xdr:twoCellAnchor>
  <xdr:twoCellAnchor editAs="oneCell">
    <xdr:from>
      <xdr:col>7</xdr:col>
      <xdr:colOff>192405</xdr:colOff>
      <xdr:row>0</xdr:row>
      <xdr:rowOff>127635</xdr:rowOff>
    </xdr:from>
    <xdr:to>
      <xdr:col>8</xdr:col>
      <xdr:colOff>1047750</xdr:colOff>
      <xdr:row>2</xdr:row>
      <xdr:rowOff>148513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5B9AA6-7CBC-4F6C-B0C2-B8B70E775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80" y="127635"/>
          <a:ext cx="1741170" cy="401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"/>
  <sheetViews>
    <sheetView tabSelected="1" workbookViewId="0">
      <selection activeCell="H13" sqref="H13:H14"/>
    </sheetView>
  </sheetViews>
  <sheetFormatPr defaultColWidth="9.140625" defaultRowHeight="15" x14ac:dyDescent="0.25"/>
  <cols>
    <col min="1" max="1" width="7" style="21" customWidth="1"/>
    <col min="2" max="2" width="10.7109375" style="21" customWidth="1"/>
    <col min="3" max="3" width="16.85546875" style="21" customWidth="1"/>
    <col min="4" max="5" width="15.28515625" style="21" customWidth="1"/>
    <col min="6" max="6" width="10.28515625" style="21" customWidth="1"/>
    <col min="7" max="7" width="15.28515625" style="21" customWidth="1"/>
    <col min="8" max="8" width="13.28515625" style="21" customWidth="1"/>
    <col min="9" max="9" width="18.42578125" style="21" customWidth="1"/>
    <col min="10" max="10" width="12.140625" style="21" bestFit="1" customWidth="1"/>
    <col min="11" max="11" width="9.140625" style="21"/>
    <col min="12" max="12" width="11.42578125" style="21" customWidth="1"/>
    <col min="13" max="13" width="12.5703125" style="21" customWidth="1"/>
    <col min="14" max="14" width="14.7109375" style="21" customWidth="1"/>
    <col min="15" max="15" width="22.5703125" style="21" customWidth="1"/>
    <col min="16" max="16" width="11.42578125" style="21" customWidth="1"/>
    <col min="17" max="16384" width="9.140625" style="21"/>
  </cols>
  <sheetData>
    <row r="2" spans="2:12" x14ac:dyDescent="0.25">
      <c r="B2" s="20"/>
    </row>
    <row r="3" spans="2:12" ht="15.75" thickBot="1" x14ac:dyDescent="0.3">
      <c r="B3" s="7" t="s">
        <v>12</v>
      </c>
      <c r="C3" s="1"/>
      <c r="D3" s="1"/>
      <c r="E3" s="1"/>
      <c r="F3" s="1"/>
      <c r="G3" s="1"/>
      <c r="H3" s="1"/>
      <c r="I3" s="1"/>
    </row>
    <row r="4" spans="2:12" ht="13.9" customHeight="1" x14ac:dyDescent="0.25">
      <c r="C4" s="6"/>
      <c r="D4" s="6"/>
      <c r="E4" s="6"/>
      <c r="F4" s="6"/>
      <c r="G4" s="6"/>
      <c r="H4" s="6"/>
      <c r="I4" s="6"/>
    </row>
    <row r="5" spans="2:12" x14ac:dyDescent="0.25">
      <c r="B5" s="8" t="s">
        <v>16</v>
      </c>
      <c r="C5" s="6" t="s">
        <v>18</v>
      </c>
      <c r="D5" s="6"/>
      <c r="E5" s="6"/>
      <c r="F5" s="6"/>
      <c r="G5" s="6"/>
      <c r="H5" s="6"/>
      <c r="I5" s="6"/>
    </row>
    <row r="6" spans="2:12" x14ac:dyDescent="0.25">
      <c r="B6" s="8" t="s">
        <v>0</v>
      </c>
      <c r="C6" s="25" t="s">
        <v>17</v>
      </c>
      <c r="D6" s="25"/>
      <c r="E6" s="2"/>
      <c r="F6" s="2"/>
      <c r="G6" s="2"/>
      <c r="H6" s="2"/>
      <c r="I6" s="2"/>
    </row>
    <row r="7" spans="2:12" x14ac:dyDescent="0.25">
      <c r="B7" s="8" t="s">
        <v>13</v>
      </c>
      <c r="C7" s="8" t="s">
        <v>19</v>
      </c>
      <c r="D7" s="2"/>
      <c r="E7" s="2"/>
      <c r="F7" s="2"/>
      <c r="G7" s="2"/>
      <c r="H7" s="2"/>
      <c r="I7" s="2"/>
    </row>
    <row r="8" spans="2:12" x14ac:dyDescent="0.25">
      <c r="B8" s="20" t="s">
        <v>11</v>
      </c>
      <c r="C8" s="9" t="s">
        <v>20</v>
      </c>
      <c r="E8" s="3"/>
      <c r="F8" s="3"/>
      <c r="G8" s="3"/>
      <c r="H8" s="26"/>
      <c r="I8" s="26"/>
    </row>
    <row r="9" spans="2:12" x14ac:dyDescent="0.25">
      <c r="E9" s="3"/>
      <c r="F9" s="3"/>
      <c r="G9" s="3"/>
      <c r="H9" s="26"/>
      <c r="I9" s="26"/>
    </row>
    <row r="10" spans="2:12" ht="15.75" thickBot="1" x14ac:dyDescent="0.3"/>
    <row r="11" spans="2:12" x14ac:dyDescent="0.25">
      <c r="B11" s="27"/>
      <c r="C11" s="28"/>
      <c r="D11" s="28"/>
      <c r="E11" s="28"/>
      <c r="F11" s="28"/>
      <c r="G11" s="28"/>
      <c r="H11" s="28"/>
      <c r="I11" s="29"/>
      <c r="L11" s="23"/>
    </row>
    <row r="12" spans="2:12" x14ac:dyDescent="0.25">
      <c r="B12" s="10" t="s">
        <v>1</v>
      </c>
      <c r="C12" s="4" t="s">
        <v>2</v>
      </c>
      <c r="D12" s="4" t="s">
        <v>3</v>
      </c>
      <c r="E12" s="4" t="s">
        <v>4</v>
      </c>
      <c r="F12" s="4"/>
      <c r="G12" s="4" t="s">
        <v>10</v>
      </c>
      <c r="H12" s="4" t="s">
        <v>5</v>
      </c>
      <c r="I12" s="11" t="s">
        <v>6</v>
      </c>
    </row>
    <row r="13" spans="2:12" x14ac:dyDescent="0.25">
      <c r="B13" s="12" t="s">
        <v>7</v>
      </c>
      <c r="C13" s="5">
        <v>5681.2650000000003</v>
      </c>
      <c r="D13" s="5">
        <v>5913.5280000000002</v>
      </c>
      <c r="E13" s="5">
        <f>D13-C13</f>
        <v>232.26299999999992</v>
      </c>
      <c r="F13" s="5">
        <f>200/5</f>
        <v>40</v>
      </c>
      <c r="G13" s="15">
        <f>F13*E13</f>
        <v>9290.5199999999968</v>
      </c>
      <c r="H13" s="5">
        <v>0.16</v>
      </c>
      <c r="I13" s="13">
        <f>G13*H13</f>
        <v>1486.4831999999994</v>
      </c>
    </row>
    <row r="14" spans="2:12" x14ac:dyDescent="0.25">
      <c r="B14" s="12" t="s">
        <v>8</v>
      </c>
      <c r="C14" s="5">
        <v>3343.049</v>
      </c>
      <c r="D14" s="5">
        <v>3473.6840000000002</v>
      </c>
      <c r="E14" s="5">
        <f>D14-C14</f>
        <v>130.63500000000022</v>
      </c>
      <c r="F14" s="5">
        <f>200/5</f>
        <v>40</v>
      </c>
      <c r="G14" s="15">
        <f>F14*E14</f>
        <v>5225.4000000000087</v>
      </c>
      <c r="H14" s="5">
        <v>0.16</v>
      </c>
      <c r="I14" s="13">
        <f>G14*H14</f>
        <v>836.06400000000144</v>
      </c>
    </row>
    <row r="15" spans="2:12" x14ac:dyDescent="0.25">
      <c r="B15" s="12"/>
      <c r="C15" s="5"/>
      <c r="D15" s="5"/>
      <c r="E15" s="5"/>
      <c r="F15" s="5"/>
      <c r="G15" s="15"/>
      <c r="H15" s="5"/>
      <c r="I15" s="13"/>
    </row>
    <row r="16" spans="2:12" ht="15.75" thickBot="1" x14ac:dyDescent="0.3">
      <c r="B16" s="30" t="s">
        <v>9</v>
      </c>
      <c r="C16" s="31"/>
      <c r="D16" s="31"/>
      <c r="E16" s="31"/>
      <c r="F16" s="31"/>
      <c r="G16" s="31"/>
      <c r="H16" s="31"/>
      <c r="I16" s="14">
        <f>SUM(I13:I14)</f>
        <v>2322.5472000000009</v>
      </c>
    </row>
    <row r="21" spans="2:9" ht="14.45" customHeight="1" x14ac:dyDescent="0.25">
      <c r="B21" s="24" t="s">
        <v>15</v>
      </c>
      <c r="C21" s="24"/>
      <c r="E21" s="16"/>
      <c r="F21" s="16"/>
      <c r="G21" s="20" t="s">
        <v>14</v>
      </c>
      <c r="H21" s="16"/>
      <c r="I21" s="9" t="s">
        <v>20</v>
      </c>
    </row>
    <row r="22" spans="2:9" x14ac:dyDescent="0.25">
      <c r="B22" s="16"/>
      <c r="C22" s="16"/>
    </row>
    <row r="23" spans="2:9" x14ac:dyDescent="0.25">
      <c r="B23" s="18"/>
      <c r="C23" s="3"/>
      <c r="D23" s="22"/>
    </row>
    <row r="24" spans="2:9" x14ac:dyDescent="0.25">
      <c r="B24" s="16"/>
      <c r="C24" s="3"/>
    </row>
    <row r="25" spans="2:9" x14ac:dyDescent="0.25">
      <c r="B25" s="19"/>
      <c r="C25" s="17"/>
    </row>
  </sheetData>
  <mergeCells count="6">
    <mergeCell ref="B21:C21"/>
    <mergeCell ref="C6:D6"/>
    <mergeCell ref="H8:I8"/>
    <mergeCell ref="H9:I9"/>
    <mergeCell ref="B11:I11"/>
    <mergeCell ref="B16:H16"/>
  </mergeCells>
  <pageMargins left="0.2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2026-03-09T08:44:57Z</dcterms:modified>
</cp:coreProperties>
</file>